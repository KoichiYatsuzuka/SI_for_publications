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ich\Documents\1_MnO2_K_Na\paper_alphaMnO2_cation\Figures_Na_K\"/>
    </mc:Choice>
  </mc:AlternateContent>
  <xr:revisionPtr revIDLastSave="0" documentId="13_ncr:1_{81BD5981-E561-43D5-AD18-95E619BB1049}" xr6:coauthVersionLast="47" xr6:coauthVersionMax="47" xr10:uidLastSave="{00000000-0000-0000-0000-000000000000}"/>
  <bookViews>
    <workbookView xWindow="0" yWindow="360" windowWidth="23256" windowHeight="13896" xr2:uid="{7E8FA05E-0468-44F9-BD34-0284FAD11B3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K2" i="1"/>
  <c r="I3" i="1"/>
  <c r="J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H10" i="1"/>
  <c r="H11" i="1"/>
  <c r="I26" i="1"/>
  <c r="J26" i="1"/>
  <c r="H22" i="1"/>
  <c r="I13" i="1"/>
  <c r="I23" i="1" s="1"/>
  <c r="J13" i="1"/>
  <c r="J23" i="1" s="1"/>
  <c r="K13" i="1"/>
  <c r="K23" i="1" s="1"/>
  <c r="I14" i="1"/>
  <c r="J14" i="1"/>
  <c r="K14" i="1"/>
  <c r="I15" i="1"/>
  <c r="I22" i="1" s="1"/>
  <c r="J15" i="1"/>
  <c r="J24" i="1" s="1"/>
  <c r="K15" i="1"/>
  <c r="K25" i="1" s="1"/>
  <c r="I16" i="1"/>
  <c r="J16" i="1"/>
  <c r="K16" i="1"/>
  <c r="I17" i="1"/>
  <c r="J17" i="1"/>
  <c r="K17" i="1"/>
  <c r="I18" i="1"/>
  <c r="J18" i="1"/>
  <c r="K18" i="1"/>
  <c r="I19" i="1"/>
  <c r="J19" i="1"/>
  <c r="K19" i="1"/>
  <c r="K26" i="1" s="1"/>
  <c r="I20" i="1"/>
  <c r="J20" i="1"/>
  <c r="K20" i="1"/>
  <c r="H20" i="1"/>
  <c r="H19" i="1"/>
  <c r="H26" i="1" s="1"/>
  <c r="H18" i="1"/>
  <c r="H17" i="1"/>
  <c r="H23" i="1" s="1"/>
  <c r="H16" i="1"/>
  <c r="H14" i="1"/>
  <c r="H15" i="1"/>
  <c r="H13" i="1"/>
  <c r="H9" i="1"/>
  <c r="H8" i="1"/>
  <c r="H7" i="1"/>
  <c r="H6" i="1"/>
  <c r="H5" i="1"/>
  <c r="H4" i="1"/>
  <c r="H3" i="1"/>
  <c r="H2" i="1"/>
  <c r="J25" i="1" l="1"/>
  <c r="K24" i="1"/>
  <c r="H24" i="1"/>
  <c r="K22" i="1"/>
  <c r="I25" i="1"/>
  <c r="H25" i="1"/>
  <c r="J22" i="1"/>
  <c r="I24" i="1"/>
</calcChain>
</file>

<file path=xl/sharedStrings.xml><?xml version="1.0" encoding="utf-8"?>
<sst xmlns="http://schemas.openxmlformats.org/spreadsheetml/2006/main" count="28" uniqueCount="28">
  <si>
    <t>E0.5_alpha</t>
    <phoneticPr fontId="1"/>
  </si>
  <si>
    <t>TS0.5_alpha</t>
    <phoneticPr fontId="1"/>
  </si>
  <si>
    <t>E0.5_gamma</t>
    <phoneticPr fontId="1"/>
  </si>
  <si>
    <t>Cycle</t>
    <phoneticPr fontId="1"/>
  </si>
  <si>
    <t>TS0.5_gamma</t>
    <phoneticPr fontId="1"/>
  </si>
  <si>
    <t>2→15</t>
    <phoneticPr fontId="1"/>
  </si>
  <si>
    <t>2→ 16</t>
    <phoneticPr fontId="1"/>
  </si>
  <si>
    <t>16→ 30</t>
    <phoneticPr fontId="1"/>
  </si>
  <si>
    <t>15→30</t>
    <phoneticPr fontId="1"/>
  </si>
  <si>
    <t>16→31</t>
    <phoneticPr fontId="1"/>
  </si>
  <si>
    <t>31→45</t>
    <phoneticPr fontId="1"/>
  </si>
  <si>
    <t>30→45</t>
    <phoneticPr fontId="1"/>
  </si>
  <si>
    <t>31→46</t>
    <phoneticPr fontId="1"/>
  </si>
  <si>
    <t>avr1</t>
    <phoneticPr fontId="1"/>
  </si>
  <si>
    <t>std1</t>
    <phoneticPr fontId="1"/>
  </si>
  <si>
    <t>avr2</t>
    <phoneticPr fontId="1"/>
  </si>
  <si>
    <t>std2</t>
    <phoneticPr fontId="1"/>
  </si>
  <si>
    <t>46→60</t>
    <phoneticPr fontId="1"/>
  </si>
  <si>
    <t>avr1→2</t>
    <phoneticPr fontId="1"/>
  </si>
  <si>
    <t>avr1→3</t>
    <phoneticPr fontId="1"/>
  </si>
  <si>
    <t>avr2→3</t>
    <phoneticPr fontId="1"/>
  </si>
  <si>
    <t>avr2→4</t>
    <phoneticPr fontId="1"/>
  </si>
  <si>
    <t>avr3→4</t>
    <phoneticPr fontId="1"/>
  </si>
  <si>
    <t>45→60</t>
    <phoneticPr fontId="1"/>
  </si>
  <si>
    <t>std3</t>
    <phoneticPr fontId="1"/>
  </si>
  <si>
    <t>avr3</t>
    <phoneticPr fontId="1"/>
  </si>
  <si>
    <t>avr4</t>
    <phoneticPr fontId="1"/>
  </si>
  <si>
    <t>std4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</si>
</sst>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7346-6B0F-4B2D-9EAF-3A9C4B807919}">
  <dimension ref="A1:K61"/>
  <sheetViews>
    <sheetView tabSelected="1" topLeftCell="D1" zoomScaleNormal="100" workbookViewId="0">
      <selection activeCell="I22" sqref="I22:I26"/>
    </sheetView>
  </sheetViews>
  <sheetFormatPr defaultRowHeight="18.75" x14ac:dyDescent="0.4"/>
  <cols>
    <col min="2" max="2" width="21" bestFit="1" customWidth="1"/>
    <col min="3" max="3" width="20.75" bestFit="1" customWidth="1"/>
    <col min="4" max="4" width="21" bestFit="1" customWidth="1"/>
    <col min="5" max="5" width="20.75" bestFit="1" customWidth="1"/>
    <col min="6" max="6" width="20.75" customWidth="1"/>
    <col min="8" max="9" width="20.75" bestFit="1" customWidth="1"/>
  </cols>
  <sheetData>
    <row r="1" spans="1:11" x14ac:dyDescent="0.4">
      <c r="A1" t="s">
        <v>3</v>
      </c>
      <c r="B1" t="s">
        <v>0</v>
      </c>
      <c r="C1" t="s">
        <v>1</v>
      </c>
      <c r="D1" t="s">
        <v>2</v>
      </c>
      <c r="E1" t="s">
        <v>4</v>
      </c>
    </row>
    <row r="2" spans="1:11" x14ac:dyDescent="0.4">
      <c r="A2">
        <v>1</v>
      </c>
      <c r="B2">
        <v>0.79391315553438102</v>
      </c>
      <c r="C2">
        <v>71.895700116935203</v>
      </c>
      <c r="D2">
        <v>0.81104597713875004</v>
      </c>
      <c r="E2">
        <v>70.537181274978707</v>
      </c>
      <c r="G2" t="s">
        <v>5</v>
      </c>
      <c r="H2">
        <f>B16-B3</f>
        <v>1.0907724671439967E-2</v>
      </c>
      <c r="I2">
        <f t="shared" ref="I2:K2" si="0">C16-C3</f>
        <v>-2.3051161812746983</v>
      </c>
      <c r="J2">
        <f t="shared" si="0"/>
        <v>1.9562637826498031E-2</v>
      </c>
      <c r="K2">
        <f t="shared" si="0"/>
        <v>0.62733175166509625</v>
      </c>
    </row>
    <row r="3" spans="1:11" x14ac:dyDescent="0.4">
      <c r="A3">
        <v>2</v>
      </c>
      <c r="B3">
        <v>0.80349857656139401</v>
      </c>
      <c r="C3">
        <v>57.486270418205997</v>
      </c>
      <c r="D3">
        <v>0.82054412612578498</v>
      </c>
      <c r="E3">
        <v>64.245812847015898</v>
      </c>
      <c r="G3" t="s">
        <v>6</v>
      </c>
      <c r="H3">
        <f>B17-B3</f>
        <v>3.6127932799177032E-2</v>
      </c>
      <c r="I3">
        <f t="shared" ref="I3:K3" si="1">C17-C3</f>
        <v>6.5012176789324059</v>
      </c>
      <c r="J3">
        <f t="shared" si="1"/>
        <v>3.279800037854097E-2</v>
      </c>
      <c r="K3">
        <f t="shared" si="1"/>
        <v>2.1734486340216961</v>
      </c>
    </row>
    <row r="4" spans="1:11" x14ac:dyDescent="0.4">
      <c r="A4">
        <v>3</v>
      </c>
      <c r="B4">
        <v>0.805976632074206</v>
      </c>
      <c r="C4">
        <v>56.324278564077296</v>
      </c>
      <c r="D4">
        <v>0.82362850734028104</v>
      </c>
      <c r="E4">
        <v>62.915216332019</v>
      </c>
      <c r="G4" t="s">
        <v>7</v>
      </c>
      <c r="H4">
        <f>B31-B17</f>
        <v>9.5145498015949403E-3</v>
      </c>
      <c r="I4">
        <f t="shared" ref="I4:K4" si="2">C31-C17</f>
        <v>-5.6513680644215043</v>
      </c>
      <c r="J4">
        <f t="shared" si="2"/>
        <v>3.0894284390150517E-3</v>
      </c>
      <c r="K4">
        <f t="shared" si="2"/>
        <v>-3.0836240722488952</v>
      </c>
    </row>
    <row r="5" spans="1:11" x14ac:dyDescent="0.4">
      <c r="A5">
        <v>4</v>
      </c>
      <c r="B5">
        <v>0.80750227316476497</v>
      </c>
      <c r="C5">
        <v>56.173707874003597</v>
      </c>
      <c r="D5">
        <v>0.82611437632293505</v>
      </c>
      <c r="E5">
        <v>62.404511937118301</v>
      </c>
      <c r="G5" t="s">
        <v>8</v>
      </c>
      <c r="H5">
        <f>B31-B16</f>
        <v>3.4734757929332005E-2</v>
      </c>
      <c r="I5">
        <f t="shared" ref="I5:K5" si="3">C31-C16</f>
        <v>3.1549657957855999</v>
      </c>
      <c r="J5">
        <f t="shared" si="3"/>
        <v>1.6324790991057991E-2</v>
      </c>
      <c r="K5">
        <f t="shared" si="3"/>
        <v>-1.5375071898922954</v>
      </c>
    </row>
    <row r="6" spans="1:11" x14ac:dyDescent="0.4">
      <c r="A6">
        <v>5</v>
      </c>
      <c r="B6">
        <v>0.80890985413970995</v>
      </c>
      <c r="C6">
        <v>56.006831739351803</v>
      </c>
      <c r="D6">
        <v>0.82809685682928103</v>
      </c>
      <c r="E6">
        <v>61.9248443223455</v>
      </c>
      <c r="G6" t="s">
        <v>9</v>
      </c>
      <c r="H6">
        <f>B32-B17</f>
        <v>-1.9930149093287053E-2</v>
      </c>
      <c r="I6">
        <f t="shared" ref="I6:K6" si="4">C32-C17</f>
        <v>-11.048828775476402</v>
      </c>
      <c r="J6">
        <f t="shared" si="4"/>
        <v>-1.1444373131658914E-2</v>
      </c>
      <c r="K6">
        <f t="shared" si="4"/>
        <v>-0.76631813330600096</v>
      </c>
    </row>
    <row r="7" spans="1:11" x14ac:dyDescent="0.4">
      <c r="A7">
        <v>6</v>
      </c>
      <c r="B7">
        <v>0.80946052452838602</v>
      </c>
      <c r="C7">
        <v>56.055588523557901</v>
      </c>
      <c r="D7">
        <v>0.82963461803792204</v>
      </c>
      <c r="E7">
        <v>62.322756777154098</v>
      </c>
      <c r="G7" t="s">
        <v>10</v>
      </c>
      <c r="H7">
        <f>B46-B32</f>
        <v>2.4678219985050376E-3</v>
      </c>
      <c r="I7">
        <f t="shared" ref="I7:K7" si="5">C46-C32</f>
        <v>-2.9156279416310014</v>
      </c>
      <c r="J7">
        <f t="shared" si="5"/>
        <v>-2.339772408124996E-3</v>
      </c>
      <c r="K7">
        <f t="shared" si="5"/>
        <v>3.7074744899482113</v>
      </c>
    </row>
    <row r="8" spans="1:11" x14ac:dyDescent="0.4">
      <c r="A8">
        <v>7</v>
      </c>
      <c r="B8">
        <v>0.81042130147705804</v>
      </c>
      <c r="C8">
        <v>55.759061266766501</v>
      </c>
      <c r="D8">
        <v>0.83110342493685396</v>
      </c>
      <c r="E8">
        <v>62.219205511462803</v>
      </c>
      <c r="G8" t="s">
        <v>11</v>
      </c>
      <c r="H8">
        <f>B46-B31</f>
        <v>-2.6976876896376956E-2</v>
      </c>
      <c r="I8">
        <f t="shared" ref="I8:K8" si="6">C46-C31</f>
        <v>-8.3130886526858987</v>
      </c>
      <c r="J8">
        <f t="shared" si="6"/>
        <v>-1.6873573978798961E-2</v>
      </c>
      <c r="K8">
        <f t="shared" si="6"/>
        <v>6.0247804288911055</v>
      </c>
    </row>
    <row r="9" spans="1:11" x14ac:dyDescent="0.4">
      <c r="A9">
        <v>8</v>
      </c>
      <c r="B9">
        <v>0.810981253597023</v>
      </c>
      <c r="C9">
        <v>55.573466544285502</v>
      </c>
      <c r="D9">
        <v>0.83261181636730697</v>
      </c>
      <c r="E9">
        <v>62.586199156901202</v>
      </c>
      <c r="G9" t="s">
        <v>12</v>
      </c>
      <c r="H9">
        <f>B47-B32</f>
        <v>2.7605078949874962E-2</v>
      </c>
      <c r="I9">
        <f t="shared" ref="I9:K9" si="7">C47-C32</f>
        <v>7.6829371027249991</v>
      </c>
      <c r="J9">
        <f t="shared" si="7"/>
        <v>4.5153869917229361E-3</v>
      </c>
      <c r="K9">
        <f t="shared" si="7"/>
        <v>0.71621446688921253</v>
      </c>
    </row>
    <row r="10" spans="1:11" x14ac:dyDescent="0.4">
      <c r="A10">
        <v>9</v>
      </c>
      <c r="B10">
        <v>0.81152254608096097</v>
      </c>
      <c r="C10">
        <v>55.562165696347101</v>
      </c>
      <c r="D10">
        <v>0.83369096765042805</v>
      </c>
      <c r="E10">
        <v>63.024856247134402</v>
      </c>
      <c r="G10" t="s">
        <v>23</v>
      </c>
      <c r="H10">
        <f>B61-B46</f>
        <v>3.0144304459998938E-2</v>
      </c>
      <c r="I10">
        <f t="shared" ref="I10:K10" si="8">C61-C46</f>
        <v>6.9404964220297032</v>
      </c>
      <c r="J10">
        <f t="shared" si="8"/>
        <v>1.8892092200210042E-3</v>
      </c>
      <c r="K10">
        <f t="shared" si="8"/>
        <v>-4.9423821617939012</v>
      </c>
    </row>
    <row r="11" spans="1:11" x14ac:dyDescent="0.4">
      <c r="A11">
        <v>10</v>
      </c>
      <c r="B11">
        <v>0.81206104241703603</v>
      </c>
      <c r="C11">
        <v>55.246812661426098</v>
      </c>
      <c r="D11">
        <v>0.835072776520696</v>
      </c>
      <c r="E11">
        <v>63.001704331267298</v>
      </c>
      <c r="G11" t="s">
        <v>17</v>
      </c>
      <c r="H11">
        <f>B61-B47</f>
        <v>5.0070475086290145E-3</v>
      </c>
      <c r="I11">
        <f t="shared" ref="I11:K11" si="9">C61-C47</f>
        <v>-3.6580686223262973</v>
      </c>
      <c r="J11">
        <f t="shared" si="9"/>
        <v>-4.9659501798269279E-3</v>
      </c>
      <c r="K11">
        <f t="shared" si="9"/>
        <v>-1.9511221387349025</v>
      </c>
    </row>
    <row r="12" spans="1:11" x14ac:dyDescent="0.4">
      <c r="A12">
        <v>11</v>
      </c>
      <c r="B12">
        <v>0.81248515456495296</v>
      </c>
      <c r="C12">
        <v>55.449514214889298</v>
      </c>
      <c r="D12">
        <v>0.83610649605083598</v>
      </c>
      <c r="E12">
        <v>63.340019740115601</v>
      </c>
    </row>
    <row r="13" spans="1:11" x14ac:dyDescent="0.4">
      <c r="A13">
        <v>12</v>
      </c>
      <c r="B13">
        <v>0.81298758607047905</v>
      </c>
      <c r="C13">
        <v>55.4148318443345</v>
      </c>
      <c r="D13">
        <v>0.83710264164957904</v>
      </c>
      <c r="E13">
        <v>63.454904680416703</v>
      </c>
      <c r="G13" t="s">
        <v>13</v>
      </c>
      <c r="H13">
        <f>AVERAGE(B3:B16)</f>
        <v>0.81054736306545117</v>
      </c>
      <c r="I13">
        <f>AVERAGE(C3:C16)</f>
        <v>55.746304410405649</v>
      </c>
      <c r="J13">
        <f>AVERAGE(D3:D16)</f>
        <v>0.83220941158002371</v>
      </c>
      <c r="K13">
        <f>AVERAGE(E3:E16)</f>
        <v>63.126343188144006</v>
      </c>
    </row>
    <row r="14" spans="1:11" x14ac:dyDescent="0.4">
      <c r="A14">
        <v>13</v>
      </c>
      <c r="B14">
        <v>0.81346311004549399</v>
      </c>
      <c r="C14">
        <v>54.831697779255002</v>
      </c>
      <c r="D14">
        <v>0.83809101702923094</v>
      </c>
      <c r="E14">
        <v>63.620075707410699</v>
      </c>
      <c r="G14" t="s">
        <v>14</v>
      </c>
      <c r="H14">
        <f>_xlfn.STDEV.P(B3:B16)/SQRT(COUNT(B3:B16))</f>
        <v>8.2093732769067298E-4</v>
      </c>
      <c r="I14">
        <f>_xlfn.STDEV.P(C3:C16)/SQRT(COUNT(C3:C16))</f>
        <v>0.16762310365887687</v>
      </c>
      <c r="J14">
        <f>_xlfn.STDEV.P(D3:D16)/SQRT(COUNT(D3:D16))</f>
        <v>1.539876346473889E-3</v>
      </c>
      <c r="K14">
        <f>_xlfn.STDEV.P(E3:E16)/SQRT(COUNT(E3:E16))</f>
        <v>0.21428978222529291</v>
      </c>
    </row>
    <row r="15" spans="1:11" x14ac:dyDescent="0.4">
      <c r="A15">
        <v>14</v>
      </c>
      <c r="B15">
        <v>0.81398692696201802</v>
      </c>
      <c r="C15">
        <v>55.382880382247201</v>
      </c>
      <c r="D15">
        <v>0.83902737330691302</v>
      </c>
      <c r="E15">
        <v>63.835552444973601</v>
      </c>
      <c r="G15" t="s">
        <v>15</v>
      </c>
      <c r="H15">
        <f>AVERAGE(B17:B31)</f>
        <v>0.84645675533044873</v>
      </c>
      <c r="I15">
        <f>AVERAGE(C17:C31)</f>
        <v>59.80581121560504</v>
      </c>
      <c r="J15">
        <f>AVERAGE(D17:D31)</f>
        <v>0.85648819512269336</v>
      </c>
      <c r="K15">
        <f>AVERAGE(E17:E31)</f>
        <v>63.371066899679256</v>
      </c>
    </row>
    <row r="16" spans="1:11" s="1" customFormat="1" x14ac:dyDescent="0.4">
      <c r="A16" s="1">
        <v>15</v>
      </c>
      <c r="B16" s="1">
        <v>0.81440630123283397</v>
      </c>
      <c r="C16" s="1">
        <v>55.181154236931299</v>
      </c>
      <c r="D16" s="1">
        <v>0.84010676395228301</v>
      </c>
      <c r="E16" s="1">
        <v>64.873144598680994</v>
      </c>
      <c r="G16" s="1" t="s">
        <v>16</v>
      </c>
      <c r="H16" s="1">
        <f>_xlfn.STDEV.S(B17:B31)/SQRT(COUNT(B17:B31))</f>
        <v>6.9087895081993886E-4</v>
      </c>
      <c r="I16" s="1">
        <f>_xlfn.STDEV.S(C17:C31)/SQRT(COUNT(C17:C31))</f>
        <v>0.39403205803310948</v>
      </c>
      <c r="J16" s="1">
        <f>_xlfn.STDEV.S(D17:D31)/SQRT(COUNT(D17:D31))</f>
        <v>2.48094815855249E-4</v>
      </c>
      <c r="K16" s="1">
        <f>_xlfn.STDEV.S(E17:E31)/SQRT(COUNT(E17:E31))</f>
        <v>0.23942936531784351</v>
      </c>
    </row>
    <row r="17" spans="1:11" x14ac:dyDescent="0.4">
      <c r="A17">
        <v>16</v>
      </c>
      <c r="B17">
        <v>0.83962650936057104</v>
      </c>
      <c r="C17">
        <v>63.987488097138403</v>
      </c>
      <c r="D17">
        <v>0.85334212650432595</v>
      </c>
      <c r="E17">
        <v>66.419261481037594</v>
      </c>
      <c r="G17" t="s">
        <v>25</v>
      </c>
      <c r="H17">
        <f>AVERAGE(B31:B45)</f>
        <v>0.82302198574243313</v>
      </c>
      <c r="I17">
        <f>AVERAGE(C31:C45)</f>
        <v>51.249668727439811</v>
      </c>
      <c r="J17">
        <f>AVERAGE(D31:D45)</f>
        <v>0.84305340064029843</v>
      </c>
      <c r="K17">
        <f>AVERAGE(E31:E45)</f>
        <v>66.911361979533282</v>
      </c>
    </row>
    <row r="18" spans="1:11" x14ac:dyDescent="0.4">
      <c r="A18">
        <v>17</v>
      </c>
      <c r="B18">
        <v>0.84258272586391503</v>
      </c>
      <c r="C18">
        <v>61.873350504730801</v>
      </c>
      <c r="D18">
        <v>0.85542498088146002</v>
      </c>
      <c r="E18">
        <v>64.237632631100297</v>
      </c>
      <c r="G18" t="s">
        <v>24</v>
      </c>
      <c r="H18">
        <f>_xlfn.STDEV.P(B32:B46)/SQRT(COUNT(B32:B46))</f>
        <v>1.7499334075649965E-4</v>
      </c>
      <c r="I18">
        <f>_xlfn.STDEV.P(C32:C46)/SQRT(COUNT(C32:C46))</f>
        <v>0.20325689202012895</v>
      </c>
      <c r="J18">
        <f>_xlfn.STDEV.P(D32:D46)/SQRT(COUNT(D32:D46))</f>
        <v>2.9906600001582882E-4</v>
      </c>
      <c r="K18">
        <f>_xlfn.STDEV.P(E32:E46)/SQRT(COUNT(E32:E46))</f>
        <v>0.32552868766437504</v>
      </c>
    </row>
    <row r="19" spans="1:11" x14ac:dyDescent="0.4">
      <c r="A19">
        <v>18</v>
      </c>
      <c r="B19">
        <v>0.84417770445920004</v>
      </c>
      <c r="C19">
        <v>60.750602156154201</v>
      </c>
      <c r="D19">
        <v>0.85641546392617995</v>
      </c>
      <c r="E19">
        <v>63.287257265960797</v>
      </c>
      <c r="G19" t="s">
        <v>26</v>
      </c>
      <c r="H19">
        <f>AVERAGE(B47:B61)</f>
        <v>0.85075673887433545</v>
      </c>
      <c r="I19">
        <f>AVERAGE(C47:C61)</f>
        <v>58.004688702138644</v>
      </c>
      <c r="J19">
        <f>AVERAGE(D47:D61)</f>
        <v>0.84476957718585455</v>
      </c>
      <c r="K19">
        <f>AVERAGE(E47:E61)</f>
        <v>64.961454450984562</v>
      </c>
    </row>
    <row r="20" spans="1:11" x14ac:dyDescent="0.4">
      <c r="A20">
        <v>19</v>
      </c>
      <c r="B20">
        <v>0.84511636138659696</v>
      </c>
      <c r="C20">
        <v>59.9616243459933</v>
      </c>
      <c r="D20">
        <v>0.85687692357169598</v>
      </c>
      <c r="E20">
        <v>63.332776752073599</v>
      </c>
      <c r="G20" t="s">
        <v>27</v>
      </c>
      <c r="H20" s="1">
        <f>_xlfn.STDEV.S(B47:B61)/SQRT(COUNT(B47:B61))</f>
        <v>3.6096541083889463E-4</v>
      </c>
      <c r="I20" s="1">
        <f>_xlfn.STDEV.S(C47:C61)/SQRT(COUNT(C47:C61))</f>
        <v>0.22968358626616892</v>
      </c>
      <c r="J20" s="1">
        <f>_xlfn.STDEV.S(D47:D61)/SQRT(COUNT(D47:D61))</f>
        <v>5.1935113687513724E-4</v>
      </c>
      <c r="K20" s="1">
        <f>_xlfn.STDEV.S(E47:E61)/SQRT(COUNT(E47:E61))</f>
        <v>0.1354788307301541</v>
      </c>
    </row>
    <row r="21" spans="1:11" x14ac:dyDescent="0.4">
      <c r="A21">
        <v>20</v>
      </c>
      <c r="B21">
        <v>0.84567487069511205</v>
      </c>
      <c r="C21">
        <v>60.4508010133261</v>
      </c>
      <c r="D21">
        <v>0.85693352539062595</v>
      </c>
      <c r="E21">
        <v>62.852273200865397</v>
      </c>
    </row>
    <row r="22" spans="1:11" x14ac:dyDescent="0.4">
      <c r="A22">
        <v>21</v>
      </c>
      <c r="B22">
        <v>0.846188506809745</v>
      </c>
      <c r="C22">
        <v>60.054235378819698</v>
      </c>
      <c r="D22">
        <v>0.85694207021329305</v>
      </c>
      <c r="E22">
        <v>63.034922804427602</v>
      </c>
      <c r="G22" t="s">
        <v>18</v>
      </c>
      <c r="H22">
        <f>H15-H13</f>
        <v>3.5909392264997564E-2</v>
      </c>
      <c r="I22">
        <f t="shared" ref="I22:K22" si="10">I15-I13</f>
        <v>4.0595068051993906</v>
      </c>
      <c r="J22">
        <f t="shared" si="10"/>
        <v>2.4278783542669657E-2</v>
      </c>
      <c r="K22">
        <f t="shared" si="10"/>
        <v>0.24472371153525074</v>
      </c>
    </row>
    <row r="23" spans="1:11" x14ac:dyDescent="0.4">
      <c r="A23">
        <v>22</v>
      </c>
      <c r="B23">
        <v>0.84713658888616195</v>
      </c>
      <c r="C23">
        <v>59.753468613819997</v>
      </c>
      <c r="D23">
        <v>0.85695774924927803</v>
      </c>
      <c r="E23">
        <v>63.082451545018699</v>
      </c>
      <c r="G23" t="s">
        <v>19</v>
      </c>
      <c r="H23">
        <f>H17-H13</f>
        <v>1.2474622676981961E-2</v>
      </c>
      <c r="I23">
        <f t="shared" ref="I23:K23" si="11">I17-I13</f>
        <v>-4.496635682965838</v>
      </c>
      <c r="J23">
        <f t="shared" si="11"/>
        <v>1.0843989060274728E-2</v>
      </c>
      <c r="K23">
        <f t="shared" si="11"/>
        <v>3.7850187913892768</v>
      </c>
    </row>
    <row r="24" spans="1:11" x14ac:dyDescent="0.4">
      <c r="A24">
        <v>23</v>
      </c>
      <c r="B24">
        <v>0.84715536368448197</v>
      </c>
      <c r="C24">
        <v>58.992559634473501</v>
      </c>
      <c r="D24">
        <v>0.85688551614279196</v>
      </c>
      <c r="E24">
        <v>63.223233665027301</v>
      </c>
      <c r="G24" t="s">
        <v>20</v>
      </c>
      <c r="H24">
        <f>H17-H15</f>
        <v>-2.3434769588015603E-2</v>
      </c>
      <c r="I24">
        <f t="shared" ref="I24:K24" si="12">I17-I15</f>
        <v>-8.5561424881652286</v>
      </c>
      <c r="J24">
        <f t="shared" si="12"/>
        <v>-1.3434794482394929E-2</v>
      </c>
      <c r="K24">
        <f t="shared" si="12"/>
        <v>3.540295079854026</v>
      </c>
    </row>
    <row r="25" spans="1:11" x14ac:dyDescent="0.4">
      <c r="A25">
        <v>24</v>
      </c>
      <c r="B25">
        <v>0.84753388700753296</v>
      </c>
      <c r="C25">
        <v>59.228274590573001</v>
      </c>
      <c r="D25">
        <v>0.85694740190374297</v>
      </c>
      <c r="E25">
        <v>62.6951388344132</v>
      </c>
      <c r="G25" t="s">
        <v>21</v>
      </c>
      <c r="H25">
        <f>H19-H15</f>
        <v>4.2999835438867207E-3</v>
      </c>
      <c r="I25">
        <f t="shared" ref="I25:K25" si="13">I19-I15</f>
        <v>-1.801122513466396</v>
      </c>
      <c r="J25">
        <f t="shared" si="13"/>
        <v>-1.1718617936838815E-2</v>
      </c>
      <c r="K25">
        <f t="shared" si="13"/>
        <v>1.5903875513053052</v>
      </c>
    </row>
    <row r="26" spans="1:11" x14ac:dyDescent="0.4">
      <c r="A26">
        <v>25</v>
      </c>
      <c r="B26">
        <v>0.84808148394956595</v>
      </c>
      <c r="C26">
        <v>59.144875806119202</v>
      </c>
      <c r="D26">
        <v>0.85693774044161197</v>
      </c>
      <c r="E26">
        <v>63.268983040563697</v>
      </c>
      <c r="G26" t="s">
        <v>22</v>
      </c>
      <c r="H26">
        <f>H19-H17</f>
        <v>2.7734753131902323E-2</v>
      </c>
      <c r="I26">
        <f t="shared" ref="I26:K26" si="14">I19-I17</f>
        <v>6.7550199746988326</v>
      </c>
      <c r="J26">
        <f t="shared" si="14"/>
        <v>1.716176545556114E-3</v>
      </c>
      <c r="K26">
        <f t="shared" si="14"/>
        <v>-1.9499075285487208</v>
      </c>
    </row>
    <row r="27" spans="1:11" x14ac:dyDescent="0.4">
      <c r="A27">
        <v>26</v>
      </c>
      <c r="B27">
        <v>0.84816790525811703</v>
      </c>
      <c r="C27">
        <v>59.183841016232797</v>
      </c>
      <c r="D27">
        <v>0.85691657322080605</v>
      </c>
      <c r="E27">
        <v>62.472354674453499</v>
      </c>
    </row>
    <row r="28" spans="1:11" x14ac:dyDescent="0.4">
      <c r="A28">
        <v>27</v>
      </c>
      <c r="B28">
        <v>0.84861492459687304</v>
      </c>
      <c r="C28">
        <v>58.5082742825211</v>
      </c>
      <c r="D28">
        <v>0.85690408350987501</v>
      </c>
      <c r="E28">
        <v>63.059872093572302</v>
      </c>
    </row>
    <row r="29" spans="1:11" x14ac:dyDescent="0.4">
      <c r="A29">
        <v>28</v>
      </c>
      <c r="B29">
        <v>0.84857509478569804</v>
      </c>
      <c r="C29">
        <v>58.392219188220402</v>
      </c>
      <c r="D29">
        <v>0.85691928478483903</v>
      </c>
      <c r="E29">
        <v>63.051323086969603</v>
      </c>
    </row>
    <row r="30" spans="1:11" x14ac:dyDescent="0.4">
      <c r="A30">
        <v>29</v>
      </c>
      <c r="B30">
        <v>0.84907834405099403</v>
      </c>
      <c r="C30">
        <v>58.469433573236202</v>
      </c>
      <c r="D30">
        <v>0.85648793215653296</v>
      </c>
      <c r="E30">
        <v>63.212885010916601</v>
      </c>
    </row>
    <row r="31" spans="1:11" s="1" customFormat="1" x14ac:dyDescent="0.4">
      <c r="A31" s="1">
        <v>30</v>
      </c>
      <c r="B31" s="1">
        <v>0.84914105916216598</v>
      </c>
      <c r="C31" s="1">
        <v>58.336120032716899</v>
      </c>
      <c r="D31" s="1">
        <v>0.856431554943341</v>
      </c>
      <c r="E31" s="1">
        <v>63.335637408788699</v>
      </c>
    </row>
    <row r="32" spans="1:11" x14ac:dyDescent="0.4">
      <c r="A32">
        <v>31</v>
      </c>
      <c r="B32">
        <v>0.81969636026728399</v>
      </c>
      <c r="C32">
        <v>52.938659321662001</v>
      </c>
      <c r="D32">
        <v>0.84189775337266703</v>
      </c>
      <c r="E32">
        <v>65.652943347731593</v>
      </c>
    </row>
    <row r="33" spans="1:5" x14ac:dyDescent="0.4">
      <c r="A33">
        <v>32</v>
      </c>
      <c r="B33">
        <v>0.82021467639830703</v>
      </c>
      <c r="C33">
        <v>51.655989104922703</v>
      </c>
      <c r="D33">
        <v>0.84295266212494102</v>
      </c>
      <c r="E33">
        <v>65.223805441051198</v>
      </c>
    </row>
    <row r="34" spans="1:5" x14ac:dyDescent="0.4">
      <c r="A34">
        <v>33</v>
      </c>
      <c r="B34">
        <v>0.82067327587499295</v>
      </c>
      <c r="C34">
        <v>51.367805698589102</v>
      </c>
      <c r="D34">
        <v>0.84301409304535102</v>
      </c>
      <c r="E34">
        <v>65.908947746997399</v>
      </c>
    </row>
    <row r="35" spans="1:5" x14ac:dyDescent="0.4">
      <c r="A35">
        <v>34</v>
      </c>
      <c r="B35">
        <v>0.82067881724569403</v>
      </c>
      <c r="C35">
        <v>51.134891777930598</v>
      </c>
      <c r="D35">
        <v>0.84308728982181402</v>
      </c>
      <c r="E35">
        <v>66.041590396844896</v>
      </c>
    </row>
    <row r="36" spans="1:5" x14ac:dyDescent="0.4">
      <c r="A36">
        <v>35</v>
      </c>
      <c r="B36">
        <v>0.82077559484510298</v>
      </c>
      <c r="C36">
        <v>50.925758759638803</v>
      </c>
      <c r="D36">
        <v>0.84304742264530597</v>
      </c>
      <c r="E36">
        <v>66.244347188667206</v>
      </c>
    </row>
    <row r="37" spans="1:5" x14ac:dyDescent="0.4">
      <c r="A37">
        <v>36</v>
      </c>
      <c r="B37">
        <v>0.82119348963542205</v>
      </c>
      <c r="C37">
        <v>50.625808591106697</v>
      </c>
      <c r="D37">
        <v>0.84305498092591902</v>
      </c>
      <c r="E37">
        <v>66.966906116880295</v>
      </c>
    </row>
    <row r="38" spans="1:5" x14ac:dyDescent="0.4">
      <c r="A38">
        <v>37</v>
      </c>
      <c r="B38">
        <v>0.82121661310878702</v>
      </c>
      <c r="C38">
        <v>50.1768058595189</v>
      </c>
      <c r="D38">
        <v>0.84293016656688202</v>
      </c>
      <c r="E38">
        <v>67.105135552443997</v>
      </c>
    </row>
    <row r="39" spans="1:5" x14ac:dyDescent="0.4">
      <c r="A39">
        <v>38</v>
      </c>
      <c r="B39">
        <v>0.82122581460960598</v>
      </c>
      <c r="C39">
        <v>50.6178500467419</v>
      </c>
      <c r="D39">
        <v>0.84253101051486601</v>
      </c>
      <c r="E39">
        <v>67.150985702890793</v>
      </c>
    </row>
    <row r="40" spans="1:5" x14ac:dyDescent="0.4">
      <c r="A40">
        <v>39</v>
      </c>
      <c r="B40">
        <v>0.82164682636983399</v>
      </c>
      <c r="C40">
        <v>50.333600519965202</v>
      </c>
      <c r="D40">
        <v>0.84203779308592897</v>
      </c>
      <c r="E40">
        <v>67.673481535577395</v>
      </c>
    </row>
    <row r="41" spans="1:5" x14ac:dyDescent="0.4">
      <c r="A41">
        <v>40</v>
      </c>
      <c r="B41">
        <v>0.82167170569691705</v>
      </c>
      <c r="C41">
        <v>50.096358342092003</v>
      </c>
      <c r="D41">
        <v>0.84195760027237398</v>
      </c>
      <c r="E41">
        <v>68.231829903757003</v>
      </c>
    </row>
    <row r="42" spans="1:5" x14ac:dyDescent="0.4">
      <c r="A42">
        <v>41</v>
      </c>
      <c r="B42">
        <v>0.82167308197511801</v>
      </c>
      <c r="C42">
        <v>50.091192594338601</v>
      </c>
      <c r="D42">
        <v>0.84144166494010897</v>
      </c>
      <c r="E42">
        <v>68.032190875080701</v>
      </c>
    </row>
    <row r="43" spans="1:5" x14ac:dyDescent="0.4">
      <c r="A43">
        <v>42</v>
      </c>
      <c r="B43">
        <v>0.82169626416552199</v>
      </c>
      <c r="C43">
        <v>50.463750657883303</v>
      </c>
      <c r="D43">
        <v>0.84092618223287396</v>
      </c>
      <c r="E43">
        <v>68.237140067890095</v>
      </c>
    </row>
    <row r="44" spans="1:5" x14ac:dyDescent="0.4">
      <c r="A44">
        <v>43</v>
      </c>
      <c r="B44">
        <v>0.82169229896741303</v>
      </c>
      <c r="C44">
        <v>50.050648158203899</v>
      </c>
      <c r="D44">
        <v>0.84049672429450195</v>
      </c>
      <c r="E44">
        <v>68.835643205089696</v>
      </c>
    </row>
    <row r="45" spans="1:5" x14ac:dyDescent="0.4">
      <c r="A45">
        <v>44</v>
      </c>
      <c r="B45">
        <v>0.82213390781433204</v>
      </c>
      <c r="C45">
        <v>49.929791446286501</v>
      </c>
      <c r="D45">
        <v>0.839994110817601</v>
      </c>
      <c r="E45">
        <v>69.029845203308199</v>
      </c>
    </row>
    <row r="46" spans="1:5" s="1" customFormat="1" x14ac:dyDescent="0.4">
      <c r="A46" s="1">
        <v>45</v>
      </c>
      <c r="B46" s="1">
        <v>0.82216418226578902</v>
      </c>
      <c r="C46" s="1">
        <v>50.023031380031</v>
      </c>
      <c r="D46" s="1">
        <v>0.83955798096454204</v>
      </c>
      <c r="E46" s="1">
        <v>69.360417837679805</v>
      </c>
    </row>
    <row r="47" spans="1:5" x14ac:dyDescent="0.4">
      <c r="A47">
        <v>46</v>
      </c>
      <c r="B47">
        <v>0.84730143921715895</v>
      </c>
      <c r="C47">
        <v>60.621596424387</v>
      </c>
      <c r="D47">
        <v>0.84641314036438997</v>
      </c>
      <c r="E47">
        <v>66.369157814620806</v>
      </c>
    </row>
    <row r="48" spans="1:5" x14ac:dyDescent="0.4">
      <c r="A48">
        <v>47</v>
      </c>
      <c r="B48">
        <v>0.848875125900871</v>
      </c>
      <c r="C48">
        <v>58.817306509567999</v>
      </c>
      <c r="D48">
        <v>0.84750838767445202</v>
      </c>
      <c r="E48">
        <v>65.548531404511195</v>
      </c>
    </row>
    <row r="49" spans="1:5" x14ac:dyDescent="0.4">
      <c r="A49">
        <v>48</v>
      </c>
      <c r="B49">
        <v>0.84936230477413599</v>
      </c>
      <c r="C49">
        <v>58.483516967945498</v>
      </c>
      <c r="D49">
        <v>0.84743855682581604</v>
      </c>
      <c r="E49">
        <v>65.442347208088904</v>
      </c>
    </row>
    <row r="50" spans="1:5" x14ac:dyDescent="0.4">
      <c r="A50">
        <v>49</v>
      </c>
      <c r="B50">
        <v>0.84984015910545796</v>
      </c>
      <c r="C50">
        <v>57.894228040558403</v>
      </c>
      <c r="D50">
        <v>0.84687793797892297</v>
      </c>
      <c r="E50">
        <v>65.117503309394607</v>
      </c>
    </row>
    <row r="51" spans="1:5" x14ac:dyDescent="0.4">
      <c r="A51">
        <v>50</v>
      </c>
      <c r="B51">
        <v>0.85036529305974395</v>
      </c>
      <c r="C51">
        <v>58.338397482810898</v>
      </c>
      <c r="D51">
        <v>0.84639054003756697</v>
      </c>
      <c r="E51">
        <v>65.300421252613901</v>
      </c>
    </row>
    <row r="52" spans="1:5" x14ac:dyDescent="0.4">
      <c r="A52">
        <v>51</v>
      </c>
      <c r="B52">
        <v>0.85079795165448802</v>
      </c>
      <c r="C52">
        <v>58.245755155925302</v>
      </c>
      <c r="D52">
        <v>0.845955177918011</v>
      </c>
      <c r="E52">
        <v>64.898241596213396</v>
      </c>
    </row>
    <row r="53" spans="1:5" x14ac:dyDescent="0.4">
      <c r="A53">
        <v>52</v>
      </c>
      <c r="B53">
        <v>0.85087332756440903</v>
      </c>
      <c r="C53">
        <v>58.127470020156998</v>
      </c>
      <c r="D53">
        <v>0.84543613134906304</v>
      </c>
      <c r="E53">
        <v>64.664341995990597</v>
      </c>
    </row>
    <row r="54" spans="1:5" x14ac:dyDescent="0.4">
      <c r="A54">
        <v>53</v>
      </c>
      <c r="B54">
        <v>0.85129663865474703</v>
      </c>
      <c r="C54">
        <v>57.701046898009203</v>
      </c>
      <c r="D54">
        <v>0.84496959105959601</v>
      </c>
      <c r="E54">
        <v>64.941917350602594</v>
      </c>
    </row>
    <row r="55" spans="1:5" x14ac:dyDescent="0.4">
      <c r="A55">
        <v>54</v>
      </c>
      <c r="B55">
        <v>0.85130805490602002</v>
      </c>
      <c r="C55">
        <v>57.7875963780277</v>
      </c>
      <c r="D55">
        <v>0.84447427750699999</v>
      </c>
      <c r="E55">
        <v>64.584450015878005</v>
      </c>
    </row>
    <row r="56" spans="1:5" x14ac:dyDescent="0.4">
      <c r="A56">
        <v>55</v>
      </c>
      <c r="B56">
        <v>0.85137032638818899</v>
      </c>
      <c r="C56">
        <v>57.690912930169603</v>
      </c>
      <c r="D56">
        <v>0.84386762642441504</v>
      </c>
      <c r="E56">
        <v>64.651179139100293</v>
      </c>
    </row>
    <row r="57" spans="1:5" x14ac:dyDescent="0.4">
      <c r="A57">
        <v>56</v>
      </c>
      <c r="B57">
        <v>0.851691186624291</v>
      </c>
      <c r="C57">
        <v>57.592710087934499</v>
      </c>
      <c r="D57">
        <v>0.84342463037353799</v>
      </c>
      <c r="E57">
        <v>64.789538165666301</v>
      </c>
    </row>
    <row r="58" spans="1:5" x14ac:dyDescent="0.4">
      <c r="A58">
        <v>57</v>
      </c>
      <c r="B58">
        <v>0.85180306424938901</v>
      </c>
      <c r="C58">
        <v>57.322086616203798</v>
      </c>
      <c r="D58">
        <v>0.84289323478214395</v>
      </c>
      <c r="E58">
        <v>64.469401665145298</v>
      </c>
    </row>
    <row r="59" spans="1:5" x14ac:dyDescent="0.4">
      <c r="A59">
        <v>58</v>
      </c>
      <c r="B59">
        <v>0.85187191393922401</v>
      </c>
      <c r="C59">
        <v>57.1341812913981</v>
      </c>
      <c r="D59">
        <v>0.84247014513372298</v>
      </c>
      <c r="E59">
        <v>64.706386009172604</v>
      </c>
    </row>
    <row r="60" spans="1:5" x14ac:dyDescent="0.4">
      <c r="A60">
        <v>59</v>
      </c>
      <c r="B60">
        <v>0.85228581035112005</v>
      </c>
      <c r="C60">
        <v>57.349997926923798</v>
      </c>
      <c r="D60">
        <v>0.84197709017461697</v>
      </c>
      <c r="E60">
        <v>64.520364161884004</v>
      </c>
    </row>
    <row r="61" spans="1:5" s="1" customFormat="1" x14ac:dyDescent="0.4">
      <c r="A61" s="1">
        <v>60</v>
      </c>
      <c r="B61" s="1">
        <v>0.85230848672578796</v>
      </c>
      <c r="C61" s="1">
        <v>56.963527802060703</v>
      </c>
      <c r="D61" s="1">
        <v>0.84144719018456304</v>
      </c>
      <c r="E61" s="1">
        <v>64.418035675885903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八束　孝一</dc:creator>
  <cp:lastModifiedBy>八束　孝一</cp:lastModifiedBy>
  <dcterms:created xsi:type="dcterms:W3CDTF">2024-12-27T08:26:30Z</dcterms:created>
  <dcterms:modified xsi:type="dcterms:W3CDTF">2025-12-02T00:53:20Z</dcterms:modified>
</cp:coreProperties>
</file>